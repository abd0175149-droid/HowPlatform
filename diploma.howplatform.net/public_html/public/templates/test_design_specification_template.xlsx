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al\Downloads\"/>
    </mc:Choice>
  </mc:AlternateContent>
  <xr:revisionPtr revIDLastSave="0" documentId="13_ncr:1_{CFECCBA0-A377-4886-BA48-77A88AE34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جدول مواصفات الكتروني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J16" i="4" s="1"/>
  <c r="C10" i="4"/>
  <c r="I17" i="4"/>
  <c r="I16" i="4"/>
  <c r="I15" i="4"/>
  <c r="I14" i="4"/>
  <c r="I13" i="4"/>
  <c r="H10" i="4"/>
  <c r="G10" i="4"/>
  <c r="F10" i="4"/>
  <c r="E10" i="4"/>
  <c r="D10" i="4"/>
  <c r="I10" i="4" l="1"/>
  <c r="G11" i="4"/>
  <c r="J17" i="4"/>
  <c r="J13" i="4"/>
  <c r="J15" i="4"/>
  <c r="J14" i="4"/>
  <c r="K16" i="4" l="1"/>
  <c r="K17" i="4"/>
  <c r="K15" i="4"/>
  <c r="C11" i="4"/>
  <c r="L13" i="4" s="1"/>
  <c r="H11" i="4"/>
  <c r="Q17" i="4" s="1"/>
  <c r="P15" i="4"/>
  <c r="P14" i="4"/>
  <c r="P17" i="4"/>
  <c r="P16" i="4"/>
  <c r="J10" i="4"/>
  <c r="E11" i="4"/>
  <c r="N16" i="4" s="1"/>
  <c r="K14" i="4"/>
  <c r="F11" i="4"/>
  <c r="O14" i="4" s="1"/>
  <c r="D11" i="4"/>
  <c r="M15" i="4" s="1"/>
  <c r="K13" i="4"/>
  <c r="P13" i="4"/>
  <c r="P11" i="4" l="1"/>
  <c r="Q16" i="4"/>
  <c r="M16" i="4"/>
  <c r="O15" i="4"/>
  <c r="L15" i="4"/>
  <c r="L14" i="4"/>
  <c r="N15" i="4"/>
  <c r="M13" i="4"/>
  <c r="Q14" i="4"/>
  <c r="M17" i="4"/>
  <c r="N14" i="4"/>
  <c r="N13" i="4"/>
  <c r="M14" i="4"/>
  <c r="N17" i="4"/>
  <c r="L16" i="4"/>
  <c r="L17" i="4"/>
  <c r="Q15" i="4"/>
  <c r="K10" i="4"/>
  <c r="Q13" i="4"/>
  <c r="O13" i="4"/>
  <c r="O17" i="4"/>
  <c r="O16" i="4"/>
  <c r="O11" i="4" l="1"/>
  <c r="N11" i="4"/>
  <c r="M11" i="4"/>
  <c r="Q11" i="4"/>
  <c r="L11" i="4"/>
</calcChain>
</file>

<file path=xl/sharedStrings.xml><?xml version="1.0" encoding="utf-8"?>
<sst xmlns="http://schemas.openxmlformats.org/spreadsheetml/2006/main" count="34" uniqueCount="27">
  <si>
    <t xml:space="preserve">مديرية التربية والتعليم: </t>
  </si>
  <si>
    <t>مدرسة</t>
  </si>
  <si>
    <t>اسم المعلم :                                                                                  الصف :                                                                                                               المادة :</t>
  </si>
  <si>
    <t xml:space="preserve">الفصل :                                                                                      العام الدراسي :                                                                                                        التاريخ    </t>
  </si>
  <si>
    <t xml:space="preserve">   ملحوظة:  العمل على إدخال المعلومات في المربعات ذات اللون الأصفر فقط  وهي "عدد أهداف الوحدات و مجموع علامة الاختبار ونسب المعرفة والفهم والتطبيق والقدرات العقلية العليا "</t>
  </si>
  <si>
    <t xml:space="preserve">عدم إجراء أي تعديل على المعادلات في الجدول </t>
  </si>
  <si>
    <t>المجموع</t>
  </si>
  <si>
    <t>مجاميع مستويات الأهداف ووزنها النسبي</t>
  </si>
  <si>
    <t>عدد أسئلة الامتحان</t>
  </si>
  <si>
    <t>المحتوى</t>
  </si>
  <si>
    <t>عدد الحصص</t>
  </si>
  <si>
    <t>تذكر</t>
  </si>
  <si>
    <t>فهم</t>
  </si>
  <si>
    <t>تطبيق</t>
  </si>
  <si>
    <t>تركيب</t>
  </si>
  <si>
    <t>تحليل</t>
  </si>
  <si>
    <t>تقويم</t>
  </si>
  <si>
    <t>أهداف الموضوع</t>
  </si>
  <si>
    <t>الوزن النسبي للموضوع</t>
  </si>
  <si>
    <t>الوزن النسبي للأهداف</t>
  </si>
  <si>
    <t>أسئلة تذكر</t>
  </si>
  <si>
    <t>أسئلة فهم</t>
  </si>
  <si>
    <t>أسئلة تطبيق</t>
  </si>
  <si>
    <t>أسئلة تركيب</t>
  </si>
  <si>
    <t>أسئلة تحليل</t>
  </si>
  <si>
    <t>أسئلة تقويم</t>
  </si>
  <si>
    <t>الوحدة/ الدرس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</si>
</sst>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akkal Majalla"/>
    </font>
    <font>
      <sz val="11"/>
      <color theme="1"/>
      <name val="Sakkal Majalla"/>
    </font>
    <font>
      <b/>
      <sz val="11"/>
      <color rgb="FFFF0000"/>
      <name val="Sakkal Majalla"/>
    </font>
    <font>
      <b/>
      <sz val="11"/>
      <color theme="0"/>
      <name val="Sakkal Majalla"/>
    </font>
    <font>
      <b/>
      <sz val="11"/>
      <color theme="3" tint="-0.499984740745262"/>
      <name val="Sakkal Majalla"/>
    </font>
    <font>
      <b/>
      <sz val="11"/>
      <color theme="9" tint="-0.499984740745262"/>
      <name val="Sakkal Majalla"/>
    </font>
    <font>
      <b/>
      <sz val="11"/>
      <color theme="7" tint="-0.499984740745262"/>
      <name val="Sakkal Majalla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9" fontId="8" fillId="11" borderId="1" xfId="1" applyFont="1" applyFill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9" fontId="4" fillId="0" borderId="0" xfId="1" applyFont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8" fillId="2" borderId="1" xfId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13" borderId="8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19"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Sakkal Majalla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akkal Majalla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akkal Majalla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akkal Majall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Sakkal Majalla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2:Q17" totalsRowShown="0" headerRowDxfId="18" dataDxfId="17">
  <tableColumns count="17">
    <tableColumn id="1" xr3:uid="{00000000-0010-0000-0000-000001000000}" name="المحتوى" dataDxfId="16"/>
    <tableColumn id="2" xr3:uid="{00000000-0010-0000-0000-000002000000}" name="عدد الحصص" dataDxfId="15"/>
    <tableColumn id="6" xr3:uid="{00000000-0010-0000-0000-000006000000}" name="تذكر" dataDxfId="14"/>
    <tableColumn id="7" xr3:uid="{00000000-0010-0000-0000-000007000000}" name="فهم" dataDxfId="13"/>
    <tableColumn id="8" xr3:uid="{00000000-0010-0000-0000-000008000000}" name="تطبيق" dataDxfId="12"/>
    <tableColumn id="9" xr3:uid="{00000000-0010-0000-0000-000009000000}" name="تركيب" dataDxfId="11"/>
    <tableColumn id="10" xr3:uid="{00000000-0010-0000-0000-00000A000000}" name="تحليل" dataDxfId="10"/>
    <tableColumn id="11" xr3:uid="{00000000-0010-0000-0000-00000B000000}" name="تقويم" dataDxfId="9"/>
    <tableColumn id="4" xr3:uid="{00000000-0010-0000-0000-000004000000}" name="أهداف الموضوع" dataDxfId="8">
      <calculatedColumnFormula>SUM(Table13[[#This Row],[تذكر]:[تقويم]])</calculatedColumnFormula>
    </tableColumn>
    <tableColumn id="3" xr3:uid="{00000000-0010-0000-0000-000003000000}" name="الوزن النسبي للموضوع" dataDxfId="7" dataCellStyle="Percent">
      <calculatedColumnFormula>Table13[[#This Row],[عدد الحصص]]/$B$10</calculatedColumnFormula>
    </tableColumn>
    <tableColumn id="5" xr3:uid="{00000000-0010-0000-0000-000005000000}" name="الوزن النسبي للأهداف" dataDxfId="6" dataCellStyle="Percent">
      <calculatedColumnFormula>Table13[[#This Row],[أهداف الموضوع]]/$I$10</calculatedColumnFormula>
    </tableColumn>
    <tableColumn id="12" xr3:uid="{00000000-0010-0000-0000-00000C000000}" name="أسئلة تذكر" dataDxfId="5">
      <calculatedColumnFormula>$C$11*Table13[[#This Row],[الوزن النسبي للموضوع]]*$L$10</calculatedColumnFormula>
    </tableColumn>
    <tableColumn id="13" xr3:uid="{00000000-0010-0000-0000-00000D000000}" name="أسئلة فهم" dataDxfId="4">
      <calculatedColumnFormula>$D$11*Table13[[#This Row],[الوزن النسبي للموضوع]]*$L$10</calculatedColumnFormula>
    </tableColumn>
    <tableColumn id="14" xr3:uid="{00000000-0010-0000-0000-00000E000000}" name="أسئلة تطبيق" dataDxfId="3">
      <calculatedColumnFormula>$E$11*Table13[[#This Row],[الوزن النسبي للموضوع]]*$L$10</calculatedColumnFormula>
    </tableColumn>
    <tableColumn id="16" xr3:uid="{00000000-0010-0000-0000-000010000000}" name="أسئلة تركيب" dataDxfId="2">
      <calculatedColumnFormula>$F$11*Table13[[#This Row],[الوزن النسبي للموضوع]]*$L$10</calculatedColumnFormula>
    </tableColumn>
    <tableColumn id="17" xr3:uid="{00000000-0010-0000-0000-000011000000}" name="أسئلة تحليل" dataDxfId="1">
      <calculatedColumnFormula>$G$11*Table13[[#This Row],[الوزن النسبي للموضوع]]*$L$10</calculatedColumnFormula>
    </tableColumn>
    <tableColumn id="18" xr3:uid="{00000000-0010-0000-0000-000012000000}" name="أسئلة تقويم" dataDxfId="0">
      <calculatedColumnFormula>$H$11*Table13[[#This Row],[الوزن النسبي للموضوع]]*$L$10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rightToLeft="1" tabSelected="1" zoomScale="77" zoomScaleNormal="113" workbookViewId="0">
      <selection activeCell="I7" sqref="I7"/>
    </sheetView>
  </sheetViews>
  <sheetFormatPr defaultColWidth="9" defaultRowHeight="12" x14ac:dyDescent="0.25"/>
  <cols>
    <col min="1" max="1" width="11.6640625" style="1" customWidth="1"/>
    <col min="2" max="2" width="8" style="1" bestFit="1" customWidth="1"/>
    <col min="3" max="8" width="6.6640625" style="1" customWidth="1"/>
    <col min="9" max="11" width="11.6640625" style="1" bestFit="1" customWidth="1"/>
    <col min="12" max="17" width="7" style="1" customWidth="1"/>
    <col min="18" max="16384" width="9" style="1"/>
  </cols>
  <sheetData>
    <row r="1" spans="1:17" ht="16.8" x14ac:dyDescent="0.5">
      <c r="A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16.8" x14ac:dyDescent="0.5">
      <c r="A2"/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16.8" x14ac:dyDescent="0.5">
      <c r="A3"/>
      <c r="B3" s="31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6.8" x14ac:dyDescent="0.5">
      <c r="A4"/>
      <c r="B4" s="31" t="s">
        <v>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ht="16.8" x14ac:dyDescent="0.5">
      <c r="A5"/>
      <c r="B5" s="32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ht="16.8" x14ac:dyDescent="0.5">
      <c r="A6"/>
      <c r="B6" s="2"/>
      <c r="C6" s="29" t="s">
        <v>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4.4" x14ac:dyDescent="0.3">
      <c r="A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4.4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ht="18" customHeight="1" x14ac:dyDescent="0.25">
      <c r="A9" s="19"/>
      <c r="B9" s="4" t="s">
        <v>6</v>
      </c>
      <c r="C9" s="22" t="s">
        <v>7</v>
      </c>
      <c r="D9" s="23"/>
      <c r="E9" s="23"/>
      <c r="F9" s="23"/>
      <c r="G9" s="23"/>
      <c r="H9" s="24"/>
      <c r="I9" s="4" t="s">
        <v>6</v>
      </c>
      <c r="J9" s="4" t="s">
        <v>6</v>
      </c>
      <c r="K9" s="5" t="s">
        <v>6</v>
      </c>
      <c r="L9" s="25" t="s">
        <v>8</v>
      </c>
      <c r="M9" s="25"/>
      <c r="N9" s="25"/>
      <c r="O9" s="25"/>
      <c r="P9" s="25"/>
      <c r="Q9" s="25"/>
    </row>
    <row r="10" spans="1:17" ht="16.8" x14ac:dyDescent="0.25">
      <c r="A10" s="20"/>
      <c r="B10" s="26">
        <f>SUM(Table13[عدد الحصص])</f>
        <v>0</v>
      </c>
      <c r="C10" s="6">
        <f>SUM(Table13[تذكر])</f>
        <v>0</v>
      </c>
      <c r="D10" s="6">
        <f>SUM(Table13[فهم])</f>
        <v>0</v>
      </c>
      <c r="E10" s="6">
        <f>SUM(Table13[تطبيق])</f>
        <v>0</v>
      </c>
      <c r="F10" s="6">
        <f>SUM(Table13[تركيب])</f>
        <v>0</v>
      </c>
      <c r="G10" s="6">
        <f>SUM(Table13[تحليل])</f>
        <v>0</v>
      </c>
      <c r="H10" s="6">
        <f>SUM(Table13[تقويم])</f>
        <v>0</v>
      </c>
      <c r="I10" s="26">
        <f>SUM(C10:H10)</f>
        <v>0</v>
      </c>
      <c r="J10" s="27" t="e">
        <f>SUM(Table13[الوزن النسبي للموضوع])</f>
        <v>#DIV/0!</v>
      </c>
      <c r="K10" s="27" t="e">
        <f>SUM(Table13[الوزن النسبي للأهداف])</f>
        <v>#DIV/0!</v>
      </c>
      <c r="L10" s="28"/>
      <c r="M10" s="28"/>
      <c r="N10" s="28"/>
      <c r="O10" s="28"/>
      <c r="P10" s="28"/>
      <c r="Q10" s="28"/>
    </row>
    <row r="11" spans="1:17" ht="16.8" x14ac:dyDescent="0.25">
      <c r="A11" s="21"/>
      <c r="B11" s="26"/>
      <c r="C11" s="7" t="e">
        <f>C10/$I$10</f>
        <v>#DIV/0!</v>
      </c>
      <c r="D11" s="7" t="e">
        <f t="shared" ref="D11:H11" si="0">D10/$I$10</f>
        <v>#DIV/0!</v>
      </c>
      <c r="E11" s="7" t="e">
        <f t="shared" si="0"/>
        <v>#DIV/0!</v>
      </c>
      <c r="F11" s="7" t="e">
        <f t="shared" si="0"/>
        <v>#DIV/0!</v>
      </c>
      <c r="G11" s="7" t="e">
        <f t="shared" si="0"/>
        <v>#DIV/0!</v>
      </c>
      <c r="H11" s="7" t="e">
        <f t="shared" si="0"/>
        <v>#DIV/0!</v>
      </c>
      <c r="I11" s="26"/>
      <c r="J11" s="27"/>
      <c r="K11" s="27"/>
      <c r="L11" s="8" t="e">
        <f>SUM(Table13[أسئلة تذكر])</f>
        <v>#DIV/0!</v>
      </c>
      <c r="M11" s="8" t="e">
        <f>SUM(Table13[أسئلة فهم])</f>
        <v>#DIV/0!</v>
      </c>
      <c r="N11" s="8" t="e">
        <f>SUM(Table13[أسئلة تطبيق])</f>
        <v>#DIV/0!</v>
      </c>
      <c r="O11" s="8" t="e">
        <f>SUM(Table13[أسئلة تركيب])</f>
        <v>#DIV/0!</v>
      </c>
      <c r="P11" s="8" t="e">
        <f>SUM(Table13[أسئلة تحليل])</f>
        <v>#DIV/0!</v>
      </c>
      <c r="Q11" s="8" t="e">
        <f>SUM(Table13[أسئلة تقويم])</f>
        <v>#DIV/0!</v>
      </c>
    </row>
    <row r="12" spans="1:17" ht="36.75" customHeight="1" x14ac:dyDescent="0.25">
      <c r="A12" s="9" t="s">
        <v>9</v>
      </c>
      <c r="B12" s="9" t="s">
        <v>10</v>
      </c>
      <c r="C12" s="10" t="s">
        <v>11</v>
      </c>
      <c r="D12" s="10" t="s">
        <v>12</v>
      </c>
      <c r="E12" s="10" t="s">
        <v>13</v>
      </c>
      <c r="F12" s="10" t="s">
        <v>14</v>
      </c>
      <c r="G12" s="10" t="s">
        <v>15</v>
      </c>
      <c r="H12" s="10" t="s">
        <v>16</v>
      </c>
      <c r="I12" s="9" t="s">
        <v>17</v>
      </c>
      <c r="J12" s="9" t="s">
        <v>18</v>
      </c>
      <c r="K12" s="9" t="s">
        <v>19</v>
      </c>
      <c r="L12" s="11" t="s">
        <v>20</v>
      </c>
      <c r="M12" s="11" t="s">
        <v>21</v>
      </c>
      <c r="N12" s="11" t="s">
        <v>22</v>
      </c>
      <c r="O12" s="11" t="s">
        <v>23</v>
      </c>
      <c r="P12" s="11" t="s">
        <v>24</v>
      </c>
      <c r="Q12" s="11" t="s">
        <v>25</v>
      </c>
    </row>
    <row r="13" spans="1:17" ht="16.8" x14ac:dyDescent="0.25">
      <c r="A13" s="12" t="s">
        <v>26</v>
      </c>
      <c r="B13" s="12"/>
      <c r="C13" s="13"/>
      <c r="D13" s="13"/>
      <c r="E13" s="13"/>
      <c r="F13" s="13"/>
      <c r="G13" s="13"/>
      <c r="H13" s="13"/>
      <c r="I13" s="14">
        <f>SUM(Table13[[#This Row],[تذكر]:[تقويم]])</f>
        <v>0</v>
      </c>
      <c r="J13" s="15" t="e">
        <f>Table13[[#This Row],[عدد الحصص]]/$B$10</f>
        <v>#DIV/0!</v>
      </c>
      <c r="K13" s="15" t="e">
        <f>Table13[[#This Row],[أهداف الموضوع]]/$I$10</f>
        <v>#DIV/0!</v>
      </c>
      <c r="L13" s="16" t="e">
        <f>$C$11*Table13[[#This Row],[الوزن النسبي للموضوع]]*$L$10</f>
        <v>#DIV/0!</v>
      </c>
      <c r="M13" s="16" t="e">
        <f>$D$11*Table13[[#This Row],[الوزن النسبي للموضوع]]*$L$10</f>
        <v>#DIV/0!</v>
      </c>
      <c r="N13" s="16" t="e">
        <f>$E$11*Table13[[#This Row],[الوزن النسبي للموضوع]]*$L$10</f>
        <v>#DIV/0!</v>
      </c>
      <c r="O13" s="16" t="e">
        <f>$F$11*Table13[[#This Row],[الوزن النسبي للموضوع]]*$L$10</f>
        <v>#DIV/0!</v>
      </c>
      <c r="P13" s="16" t="e">
        <f>$G$11*Table13[[#This Row],[الوزن النسبي للموضوع]]*$L$10</f>
        <v>#DIV/0!</v>
      </c>
      <c r="Q13" s="16" t="e">
        <f>$H$11*Table13[[#This Row],[الوزن النسبي للموضوع]]*$L$10</f>
        <v>#DIV/0!</v>
      </c>
    </row>
    <row r="14" spans="1:17" ht="16.8" x14ac:dyDescent="0.25">
      <c r="A14" s="12" t="s">
        <v>26</v>
      </c>
      <c r="B14" s="12"/>
      <c r="C14" s="13"/>
      <c r="D14" s="13"/>
      <c r="E14" s="13"/>
      <c r="F14" s="13"/>
      <c r="G14" s="13"/>
      <c r="H14" s="13"/>
      <c r="I14" s="14">
        <f>SUM(Table13[[#This Row],[تذكر]:[تقويم]])</f>
        <v>0</v>
      </c>
      <c r="J14" s="17" t="e">
        <f>Table13[[#This Row],[عدد الحصص]]/$B$10</f>
        <v>#DIV/0!</v>
      </c>
      <c r="K14" s="15" t="e">
        <f>Table13[[#This Row],[أهداف الموضوع]]/$I$10</f>
        <v>#DIV/0!</v>
      </c>
      <c r="L14" s="18" t="e">
        <f>$C$11*Table13[[#This Row],[الوزن النسبي للموضوع]]*$L$10</f>
        <v>#DIV/0!</v>
      </c>
      <c r="M14" s="18" t="e">
        <f>$D$11*Table13[[#This Row],[الوزن النسبي للموضوع]]*$L$10</f>
        <v>#DIV/0!</v>
      </c>
      <c r="N14" s="18" t="e">
        <f>$E$11*Table13[[#This Row],[الوزن النسبي للموضوع]]*$L$10</f>
        <v>#DIV/0!</v>
      </c>
      <c r="O14" s="18" t="e">
        <f>$F$11*Table13[[#This Row],[الوزن النسبي للموضوع]]*$L$10</f>
        <v>#DIV/0!</v>
      </c>
      <c r="P14" s="18" t="e">
        <f>$G$11*Table13[[#This Row],[الوزن النسبي للموضوع]]*$L$10</f>
        <v>#DIV/0!</v>
      </c>
      <c r="Q14" s="18" t="e">
        <f>$H$11*Table13[[#This Row],[الوزن النسبي للموضوع]]*$L$10</f>
        <v>#DIV/0!</v>
      </c>
    </row>
    <row r="15" spans="1:17" ht="16.8" x14ac:dyDescent="0.25">
      <c r="A15" s="12" t="s">
        <v>26</v>
      </c>
      <c r="B15" s="12"/>
      <c r="C15" s="13"/>
      <c r="D15" s="13"/>
      <c r="E15" s="13"/>
      <c r="F15" s="13"/>
      <c r="G15" s="13"/>
      <c r="H15" s="13"/>
      <c r="I15" s="14">
        <f>SUM(Table13[[#This Row],[تذكر]:[تقويم]])</f>
        <v>0</v>
      </c>
      <c r="J15" s="17" t="e">
        <f>Table13[[#This Row],[عدد الحصص]]/$B$10</f>
        <v>#DIV/0!</v>
      </c>
      <c r="K15" s="15" t="e">
        <f>Table13[[#This Row],[أهداف الموضوع]]/$I$10</f>
        <v>#DIV/0!</v>
      </c>
      <c r="L15" s="16" t="e">
        <f>$C$11*Table13[[#This Row],[الوزن النسبي للموضوع]]*$L$10</f>
        <v>#DIV/0!</v>
      </c>
      <c r="M15" s="16" t="e">
        <f>$D$11*Table13[[#This Row],[الوزن النسبي للموضوع]]*$L$10</f>
        <v>#DIV/0!</v>
      </c>
      <c r="N15" s="16" t="e">
        <f>$E$11*Table13[[#This Row],[الوزن النسبي للموضوع]]*$L$10</f>
        <v>#DIV/0!</v>
      </c>
      <c r="O15" s="16" t="e">
        <f>$F$11*Table13[[#This Row],[الوزن النسبي للموضوع]]*$L$10</f>
        <v>#DIV/0!</v>
      </c>
      <c r="P15" s="16" t="e">
        <f>$G$11*Table13[[#This Row],[الوزن النسبي للموضوع]]*$L$10</f>
        <v>#DIV/0!</v>
      </c>
      <c r="Q15" s="16" t="e">
        <f>$H$11*Table13[[#This Row],[الوزن النسبي للموضوع]]*$L$10</f>
        <v>#DIV/0!</v>
      </c>
    </row>
    <row r="16" spans="1:17" ht="16.8" x14ac:dyDescent="0.25">
      <c r="A16" s="12" t="s">
        <v>26</v>
      </c>
      <c r="B16" s="12"/>
      <c r="C16" s="13"/>
      <c r="D16" s="13"/>
      <c r="E16" s="13"/>
      <c r="F16" s="13"/>
      <c r="G16" s="13"/>
      <c r="H16" s="13"/>
      <c r="I16" s="14">
        <f>SUM(Table13[[#This Row],[تذكر]:[تقويم]])</f>
        <v>0</v>
      </c>
      <c r="J16" s="17" t="e">
        <f>Table13[[#This Row],[عدد الحصص]]/$B$10</f>
        <v>#DIV/0!</v>
      </c>
      <c r="K16" s="15" t="e">
        <f>Table13[[#This Row],[أهداف الموضوع]]/$I$10</f>
        <v>#DIV/0!</v>
      </c>
      <c r="L16" s="18" t="e">
        <f>$C$11*Table13[[#This Row],[الوزن النسبي للموضوع]]*$L$10</f>
        <v>#DIV/0!</v>
      </c>
      <c r="M16" s="18" t="e">
        <f>$D$11*Table13[[#This Row],[الوزن النسبي للموضوع]]*$L$10</f>
        <v>#DIV/0!</v>
      </c>
      <c r="N16" s="18" t="e">
        <f>$E$11*Table13[[#This Row],[الوزن النسبي للموضوع]]*$L$10</f>
        <v>#DIV/0!</v>
      </c>
      <c r="O16" s="18" t="e">
        <f>$F$11*Table13[[#This Row],[الوزن النسبي للموضوع]]*$L$10</f>
        <v>#DIV/0!</v>
      </c>
      <c r="P16" s="18" t="e">
        <f>$G$11*Table13[[#This Row],[الوزن النسبي للموضوع]]*$L$10</f>
        <v>#DIV/0!</v>
      </c>
      <c r="Q16" s="18" t="e">
        <f>$H$11*Table13[[#This Row],[الوزن النسبي للموضوع]]*$L$10</f>
        <v>#DIV/0!</v>
      </c>
    </row>
    <row r="17" spans="1:17" ht="16.8" x14ac:dyDescent="0.25">
      <c r="A17" s="12" t="s">
        <v>26</v>
      </c>
      <c r="B17" s="12"/>
      <c r="C17" s="13"/>
      <c r="D17" s="13"/>
      <c r="E17" s="13"/>
      <c r="F17" s="13"/>
      <c r="G17" s="13"/>
      <c r="H17" s="13"/>
      <c r="I17" s="14">
        <f>SUM(Table13[[#This Row],[تذكر]:[تقويم]])</f>
        <v>0</v>
      </c>
      <c r="J17" s="17" t="e">
        <f>Table13[[#This Row],[عدد الحصص]]/$B$10</f>
        <v>#DIV/0!</v>
      </c>
      <c r="K17" s="17" t="e">
        <f>Table13[[#This Row],[أهداف الموضوع]]/$I$10</f>
        <v>#DIV/0!</v>
      </c>
      <c r="L17" s="16" t="e">
        <f>$C$11*Table13[[#This Row],[الوزن النسبي للموضوع]]*$L$10</f>
        <v>#DIV/0!</v>
      </c>
      <c r="M17" s="16" t="e">
        <f>$D$11*Table13[[#This Row],[الوزن النسبي للموضوع]]*$L$10</f>
        <v>#DIV/0!</v>
      </c>
      <c r="N17" s="16" t="e">
        <f>$E$11*Table13[[#This Row],[الوزن النسبي للموضوع]]*$L$10</f>
        <v>#DIV/0!</v>
      </c>
      <c r="O17" s="16" t="e">
        <f>$F$11*Table13[[#This Row],[الوزن النسبي للموضوع]]*$L$10</f>
        <v>#DIV/0!</v>
      </c>
      <c r="P17" s="16" t="e">
        <f>$G$11*Table13[[#This Row],[الوزن النسبي للموضوع]]*$L$10</f>
        <v>#DIV/0!</v>
      </c>
      <c r="Q17" s="16" t="e">
        <f>$H$11*Table13[[#This Row],[الوزن النسبي للموضوع]]*$L$10</f>
        <v>#DIV/0!</v>
      </c>
    </row>
  </sheetData>
  <mergeCells count="14">
    <mergeCell ref="C6:Q6"/>
    <mergeCell ref="B1:Q1"/>
    <mergeCell ref="B2:Q2"/>
    <mergeCell ref="B3:Q3"/>
    <mergeCell ref="B4:Q4"/>
    <mergeCell ref="B5:Q5"/>
    <mergeCell ref="A9:A11"/>
    <mergeCell ref="C9:H9"/>
    <mergeCell ref="L9:Q9"/>
    <mergeCell ref="B10:B11"/>
    <mergeCell ref="I10:I11"/>
    <mergeCell ref="J10:J11"/>
    <mergeCell ref="K10:K11"/>
    <mergeCell ref="L10:Q10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efdf0d-43ce-4a07-bdaa-abe997e451ee">
      <Terms xmlns="http://schemas.microsoft.com/office/infopath/2007/PartnerControls"/>
    </lcf76f155ced4ddcb4097134ff3c332f>
    <TaxCatchAll xmlns="c99e9193-29ef-467c-8cb4-c5ea141338fe" xsi:nil="true"/>
    <_Flow_SignoffStatus xmlns="fdefdf0d-43ce-4a07-bdaa-abe997e451ee" xsi:nil="true"/>
    <Useful_x0020_for_x0020_ xmlns="fdefdf0d-43ce-4a07-bdaa-abe997e451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6989C71CEFF4AB91CA4E33F0CEC91" ma:contentTypeVersion="24" ma:contentTypeDescription="Create a new document." ma:contentTypeScope="" ma:versionID="da6aa49f06a0c2911de001226c8ebdd2">
  <xsd:schema xmlns:xsd="http://www.w3.org/2001/XMLSchema" xmlns:xs="http://www.w3.org/2001/XMLSchema" xmlns:p="http://schemas.microsoft.com/office/2006/metadata/properties" xmlns:ns2="c99e9193-29ef-467c-8cb4-c5ea141338fe" xmlns:ns3="fdefdf0d-43ce-4a07-bdaa-abe997e451ee" targetNamespace="http://schemas.microsoft.com/office/2006/metadata/properties" ma:root="true" ma:fieldsID="77f36ad6ea3caf6ca84eef10eea44116" ns2:_="" ns3:_="">
    <xsd:import namespace="c99e9193-29ef-467c-8cb4-c5ea141338fe"/>
    <xsd:import namespace="fdefdf0d-43ce-4a07-bdaa-abe997e451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Useful_x0020_for_x0020_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9193-29ef-467c-8cb4-c5ea141338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7" nillable="true" ma:displayName="Taxonomy Catch All Column" ma:hidden="true" ma:list="{507c8d3c-7414-434c-bd17-6ba425637f6c}" ma:internalName="TaxCatchAll" ma:showField="CatchAllData" ma:web="c99e9193-29ef-467c-8cb4-c5ea14133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fdf0d-43ce-4a07-bdaa-abe997e45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Useful_x0020_for_x0020_" ma:index="16" nillable="true" ma:displayName="Useful for" ma:internalName="Useful_x0020_for_x0020_">
      <xsd:simpleType>
        <xsd:restriction base="dms:Text">
          <xsd:maxLength value="255"/>
        </xsd:restriction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cb61397-224f-4be4-9730-43d49e89b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695AD1-7621-4039-8920-4731B226CD5A}">
  <ds:schemaRefs>
    <ds:schemaRef ds:uri="http://schemas.microsoft.com/office/2006/metadata/properties"/>
    <ds:schemaRef ds:uri="http://schemas.microsoft.com/office/infopath/2007/PartnerControls"/>
    <ds:schemaRef ds:uri="fdefdf0d-43ce-4a07-bdaa-abe997e451ee"/>
    <ds:schemaRef ds:uri="c99e9193-29ef-467c-8cb4-c5ea141338fe"/>
  </ds:schemaRefs>
</ds:datastoreItem>
</file>

<file path=customXml/itemProps2.xml><?xml version="1.0" encoding="utf-8"?>
<ds:datastoreItem xmlns:ds="http://schemas.openxmlformats.org/officeDocument/2006/customXml" ds:itemID="{56E3A8CC-F29C-4506-AE3A-AAC0F1F80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e9193-29ef-467c-8cb4-c5ea141338fe"/>
    <ds:schemaRef ds:uri="fdefdf0d-43ce-4a07-bdaa-abe997e45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DE794D-2534-41B5-A5F2-E97B5793F9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مواصفات الكتروني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haneen</dc:creator>
  <cp:keywords/>
  <dc:description/>
  <cp:lastModifiedBy>Abdallah Afaneh</cp:lastModifiedBy>
  <cp:revision/>
  <dcterms:created xsi:type="dcterms:W3CDTF">2015-04-29T18:19:57Z</dcterms:created>
  <dcterms:modified xsi:type="dcterms:W3CDTF">2026-03-25T11:38:22Z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0x0101006A86989C71CEFF4AB91CA4E33F0CEC91</vt:lpwstr>
  </property>
  <property fmtid="{D5CDD505-2E9C-101B-9397-08002B2CF9AE}" pid="3" name="MediaServiceImageTags">
    <vt:lpwstr/>
  </property>
</Properties>
</file>